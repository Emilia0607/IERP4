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milia\Documents\IERP\TIMES_STUDENTS_MID\files_for_later\"/>
    </mc:Choice>
  </mc:AlternateContent>
  <xr:revisionPtr revIDLastSave="0" documentId="13_ncr:1_{03DD2395-D410-47A4-8135-4B26CF7D9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4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4" l="1"/>
  <c r="E22" i="4"/>
  <c r="F22" i="4"/>
  <c r="G8" i="4"/>
  <c r="E8" i="4"/>
  <c r="D22" i="4"/>
  <c r="C22" i="4"/>
  <c r="G7" i="4"/>
  <c r="E7" i="4"/>
  <c r="C7" i="4"/>
  <c r="B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D5" authorId="0" shapeId="0" xr:uid="{00000000-0006-0000-0000-000001000000}">
      <text>
        <r>
          <rPr>
            <sz val="8"/>
            <color indexed="81"/>
            <rFont val="Tahoma"/>
            <family val="2"/>
          </rPr>
          <t>Comm-IN-A 
indicates an auxillary input, thus not consider with respect the efficiency</t>
        </r>
      </text>
    </comment>
    <comment ref="F5" authorId="0" shapeId="0" xr:uid="{00000000-0006-0000-0000-000002000000}">
      <text>
        <r>
          <rPr>
            <sz val="8"/>
            <color indexed="81"/>
            <rFont val="Tahoma"/>
            <family val="2"/>
          </rPr>
          <t>Comm-OUT-A 
indicates an auxillary input, thus not consider with respect the efficiency</t>
        </r>
      </text>
    </comment>
    <comment ref="B12" authorId="1" shapeId="0" xr:uid="{00000000-0006-0000-0000-000004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12" authorId="0" shapeId="0" xr:uid="{00000000-0006-0000-0000-000005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12" authorId="0" shapeId="0" xr:uid="{00000000-0006-0000-0000-000006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12" authorId="0" shapeId="0" xr:uid="{00000000-0006-0000-0000-000007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12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19" authorId="0" shapeId="0" xr:uid="{00000000-0006-0000-0000-000009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19" authorId="0" shapeId="0" xr:uid="{00000000-0006-0000-0000-00000A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20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<sst xmlns="http://schemas.openxmlformats.org/spreadsheetml/2006/main" count="82" uniqueCount="77">
  <si>
    <t>~FI_T</t>
  </si>
  <si>
    <t>TechName</t>
  </si>
  <si>
    <t>* TechDesc</t>
  </si>
  <si>
    <t>Comm-IN-A</t>
  </si>
  <si>
    <t>Comm-IN</t>
  </si>
  <si>
    <t>Comm-OUT-A</t>
  </si>
  <si>
    <t>Comm-OUT</t>
  </si>
  <si>
    <t>START</t>
  </si>
  <si>
    <t>STG_EFF</t>
  </si>
  <si>
    <t>AFA</t>
  </si>
  <si>
    <t>Life</t>
  </si>
  <si>
    <t>CAP2ACT</t>
  </si>
  <si>
    <t>INVCOST</t>
  </si>
  <si>
    <t>FIXOM</t>
  </si>
  <si>
    <t>VAROM</t>
  </si>
  <si>
    <t>PEAK</t>
  </si>
  <si>
    <t>\I:Technology Name</t>
  </si>
  <si>
    <t>Technology Description</t>
  </si>
  <si>
    <t>Auxiliary Input Commodity</t>
  </si>
  <si>
    <t>Input Commodity</t>
  </si>
  <si>
    <t>Auxiliary Output Commodity</t>
  </si>
  <si>
    <t>Output Commodity</t>
  </si>
  <si>
    <t>Starting Year</t>
  </si>
  <si>
    <t>Efficiency</t>
  </si>
  <si>
    <t>Annual Availability Factor</t>
  </si>
  <si>
    <t>Lifetime of Process</t>
  </si>
  <si>
    <t>Capacity to Activity Factor</t>
  </si>
  <si>
    <t>Investment Cost</t>
  </si>
  <si>
    <t>Fixed O&amp;M Cost</t>
  </si>
  <si>
    <t>Variable O&amp;M Cost</t>
  </si>
  <si>
    <t>Capacity fraction during peal load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</si>
  <si>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</si>
  <si>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</si>
  <si>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</si>
  <si>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</si>
  <si>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</si>
  <si>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</si>
  <si>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</si>
  <si>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</si>
  <si>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</si>
  <si>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</si>
  <si>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</si>
  <si>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</si>
  <si>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</si>
  <si>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</si>
  <si>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</si>
  <si>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</si>
  <si>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NRG</t>
  </si>
  <si>
    <t>ELEC_HV</t>
  </si>
  <si>
    <t>High Voltage Electricity (&gt;110 kV)</t>
  </si>
  <si>
    <t>PJ</t>
  </si>
  <si>
    <t>DAYNITE</t>
  </si>
  <si>
    <t>ANNUAL</t>
  </si>
  <si>
    <t>ELC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</si>
  <si>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</si>
  <si>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</si>
  <si>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</si>
  <si>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</si>
  <si>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</si>
  <si>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</si>
  <si>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</si>
  <si>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</si>
  <si>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 Membership</t>
  </si>
  <si>
    <t>Technology Name</t>
  </si>
  <si>
    <t>Activity Unit</t>
  </si>
  <si>
    <t>Capacity Unit</t>
  </si>
  <si>
    <t>Timeslice Operational Level</t>
  </si>
  <si>
    <t>Operational Commodity Group</t>
  </si>
  <si>
    <t>Vintage Tracking</t>
  </si>
  <si>
    <t>STS</t>
  </si>
  <si>
    <t>NEW_ELEC_STG</t>
  </si>
  <si>
    <t>Electricity Storage</t>
  </si>
  <si>
    <t>PJ/a</t>
  </si>
  <si>
    <t>New Storage Processes</t>
  </si>
  <si>
    <t>NEW_ELEC_STG2</t>
  </si>
  <si>
    <t>new storage</t>
  </si>
  <si>
    <t>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</si>
</sst>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9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12"/>
      <color indexed="53"/>
      <name val="Arial"/>
      <family val="2"/>
    </font>
    <font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vertical="center"/>
    </xf>
    <xf numFmtId="0" fontId="3" fillId="4" borderId="0" xfId="0" applyFont="1" applyFill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2" fillId="3" borderId="2" xfId="1" applyFill="1" applyBorder="1" applyAlignment="1">
      <alignment horizontal="center" wrapText="1"/>
    </xf>
    <xf numFmtId="0" fontId="8" fillId="5" borderId="3" xfId="0" applyFont="1" applyFill="1" applyBorder="1"/>
    <xf numFmtId="164" fontId="8" fillId="5" borderId="3" xfId="0" applyNumberFormat="1" applyFont="1" applyFill="1" applyBorder="1"/>
    <xf numFmtId="0" fontId="2" fillId="3" borderId="2" xfId="1" applyFill="1" applyBorder="1" applyAlignment="1">
      <alignment horizontal="left" wrapText="1"/>
    </xf>
    <xf numFmtId="0" fontId="2" fillId="3" borderId="0" xfId="1" applyFill="1" applyAlignment="1">
      <alignment horizontal="left" wrapText="1"/>
    </xf>
    <xf numFmtId="0" fontId="5" fillId="6" borderId="2" xfId="0" applyFont="1" applyFill="1" applyBorder="1" applyAlignment="1">
      <alignment vertical="center"/>
    </xf>
  </cellXfs>
  <cellStyles count="2">
    <cellStyle name="Normal 10" xfId="1" xr:uid="{00000000-0005-0000-0000-000001000000}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V22"/>
  <sheetViews>
    <sheetView tabSelected="1" topLeftCell="A3" zoomScale="83" zoomScaleNormal="160" workbookViewId="0">
      <selection activeCell="H25" sqref="H25"/>
    </sheetView>
  </sheetViews>
  <sheetFormatPr defaultRowHeight="13.2" x14ac:dyDescent="0.25"/>
  <cols>
    <col min="1" max="1" width="2.77734375" customWidth="1"/>
    <col min="2" max="2" width="40.77734375" customWidth="1"/>
    <col min="3" max="3" width="22.77734375" bestFit="1" customWidth="1"/>
    <col min="4" max="4" width="18.21875" customWidth="1"/>
    <col min="5" max="5" width="15.77734375" customWidth="1"/>
    <col min="6" max="6" width="15.21875" customWidth="1"/>
    <col min="7" max="7" width="15.77734375" customWidth="1"/>
    <col min="8" max="8" width="13.44140625" bestFit="1" customWidth="1"/>
    <col min="9" max="9" width="14.77734375" bestFit="1" customWidth="1"/>
    <col min="10" max="11" width="13.21875" customWidth="1"/>
    <col min="12" max="12" width="9.77734375" customWidth="1"/>
    <col min="13" max="13" width="13.21875" customWidth="1"/>
    <col min="14" max="14" width="11.21875" customWidth="1"/>
    <col min="15" max="15" width="12.5546875" customWidth="1"/>
    <col min="16" max="16" width="14.5546875" customWidth="1"/>
    <col min="17" max="17" width="13.21875" customWidth="1"/>
    <col min="18" max="18" width="13.77734375" customWidth="1"/>
    <col min="19" max="19" width="11.44140625" customWidth="1"/>
  </cols>
  <sheetData>
    <row r="1" spans="2:22" ht="15.6" x14ac:dyDescent="0.3">
      <c r="B1" s="10"/>
    </row>
    <row r="2" spans="2:22" ht="17.399999999999999" x14ac:dyDescent="0.3">
      <c r="B2" s="8" t="s">
        <v>73</v>
      </c>
    </row>
    <row r="3" spans="2:22" x14ac:dyDescent="0.25">
      <c r="F3" s="2"/>
      <c r="G3" s="2"/>
      <c r="H3" s="1"/>
      <c r="I3" s="1"/>
    </row>
    <row r="4" spans="2:22" x14ac:dyDescent="0.25">
      <c r="F4" s="1"/>
      <c r="G4" s="1" t="s">
        <v>0</v>
      </c>
      <c r="H4" s="1"/>
      <c r="I4" s="1"/>
    </row>
    <row r="5" spans="2:22" x14ac:dyDescent="0.25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16" t="s">
        <v>8</v>
      </c>
      <c r="J5" s="9" t="s">
        <v>9</v>
      </c>
      <c r="K5" s="9" t="s">
        <v>10</v>
      </c>
      <c r="L5" s="9" t="s">
        <v>11</v>
      </c>
      <c r="M5" s="9" t="s">
        <v>12</v>
      </c>
      <c r="N5" s="9" t="s">
        <v>13</v>
      </c>
      <c r="O5" s="9" t="s">
        <v>14</v>
      </c>
      <c r="P5" s="9" t="s">
        <v>15</v>
      </c>
    </row>
    <row r="6" spans="2:22" s="3" customFormat="1" ht="40.200000000000003" thickBot="1" x14ac:dyDescent="0.3"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20</v>
      </c>
      <c r="G6" s="11" t="s">
        <v>21</v>
      </c>
      <c r="H6" s="11" t="s">
        <v>22</v>
      </c>
      <c r="I6" s="11" t="s">
        <v>23</v>
      </c>
      <c r="J6" s="11" t="s">
        <v>24</v>
      </c>
      <c r="K6" s="11" t="s">
        <v>25</v>
      </c>
      <c r="L6" s="11" t="s">
        <v>26</v>
      </c>
      <c r="M6" s="11" t="s">
        <v>27</v>
      </c>
      <c r="N6" s="11" t="s">
        <v>28</v>
      </c>
      <c r="O6" s="11" t="s">
        <v>29</v>
      </c>
      <c r="P6" s="11" t="s">
        <v>30</v>
      </c>
      <c r="Q6"/>
      <c r="R6"/>
      <c r="S6"/>
      <c r="T6"/>
      <c r="U6"/>
      <c r="V6"/>
    </row>
    <row r="7" spans="2:22" ht="18.75" customHeight="1" thickBot="1" x14ac:dyDescent="0.3">
      <c r="B7" s="12" t="str">
        <f>C21</f>
        <v>NEW_ELEC_STG</v>
      </c>
      <c r="C7" s="12" t="str">
        <f>D21</f>
        <v>Electricity Storage</v>
      </c>
      <c r="D7" s="12"/>
      <c r="E7" s="13" t="str">
        <f>C14</f>
        <v>ELEC_HV</v>
      </c>
      <c r="F7" s="12"/>
      <c r="G7" s="13" t="str">
        <f>C14</f>
        <v>ELEC_HV</v>
      </c>
      <c r="H7" s="12">
        <v>2025</v>
      </c>
      <c r="I7" s="12">
        <v>0.9</v>
      </c>
      <c r="J7" s="12">
        <v>1</v>
      </c>
      <c r="K7" s="12">
        <v>20</v>
      </c>
      <c r="L7" s="12">
        <v>1</v>
      </c>
      <c r="M7" s="12">
        <v>5000</v>
      </c>
      <c r="N7" s="12">
        <v>1</v>
      </c>
      <c r="O7" s="12">
        <v>1</v>
      </c>
      <c r="P7" s="12">
        <v>1</v>
      </c>
    </row>
    <row r="8" spans="2:22" ht="13.8" thickBot="1" x14ac:dyDescent="0.3">
      <c r="B8" s="12" t="s">
        <v>74</v>
      </c>
      <c r="C8" s="12" t="s">
        <v>75</v>
      </c>
      <c r="D8" s="12"/>
      <c r="E8" s="13" t="str">
        <f>E7</f>
        <v>ELEC_HV</v>
      </c>
      <c r="F8" s="12"/>
      <c r="G8" s="13" t="str">
        <f>G7</f>
        <v>ELEC_HV</v>
      </c>
      <c r="H8" s="12">
        <v>2027</v>
      </c>
      <c r="I8" s="12">
        <v>0.8</v>
      </c>
      <c r="J8" s="12">
        <v>1</v>
      </c>
      <c r="K8" s="12">
        <v>15</v>
      </c>
      <c r="L8" s="12">
        <v>1</v>
      </c>
      <c r="M8" s="12">
        <v>3500</v>
      </c>
      <c r="N8" s="12">
        <v>0.8</v>
      </c>
      <c r="O8" s="12">
        <v>1.2</v>
      </c>
      <c r="P8" s="12">
        <v>1</v>
      </c>
    </row>
    <row r="11" spans="2:22" x14ac:dyDescent="0.25">
      <c r="B11" s="1" t="s">
        <v>31</v>
      </c>
      <c r="C11" s="3"/>
      <c r="D11" s="3"/>
      <c r="E11" s="3"/>
      <c r="F11" s="3"/>
      <c r="G11" s="3"/>
      <c r="H11" s="3"/>
      <c r="I11" s="3"/>
    </row>
    <row r="12" spans="2:22" x14ac:dyDescent="0.25">
      <c r="B12" s="5" t="s">
        <v>32</v>
      </c>
      <c r="C12" s="5" t="s">
        <v>33</v>
      </c>
      <c r="D12" s="5" t="s">
        <v>34</v>
      </c>
      <c r="E12" s="6" t="s">
        <v>35</v>
      </c>
      <c r="F12" s="6" t="s">
        <v>36</v>
      </c>
      <c r="G12" s="6" t="s">
        <v>37</v>
      </c>
      <c r="H12" s="6" t="s">
        <v>38</v>
      </c>
      <c r="I12" s="6" t="s">
        <v>39</v>
      </c>
    </row>
    <row r="13" spans="2:22" ht="27" thickBot="1" x14ac:dyDescent="0.3">
      <c r="B13" s="14" t="s">
        <v>40</v>
      </c>
      <c r="C13" s="14" t="s">
        <v>41</v>
      </c>
      <c r="D13" s="14" t="s">
        <v>42</v>
      </c>
      <c r="E13" s="14" t="s">
        <v>35</v>
      </c>
      <c r="F13" s="14" t="s">
        <v>43</v>
      </c>
      <c r="G13" s="14" t="s">
        <v>44</v>
      </c>
      <c r="H13" s="14" t="s">
        <v>45</v>
      </c>
      <c r="I13" s="14" t="s">
        <v>46</v>
      </c>
    </row>
    <row r="14" spans="2:22" ht="18.75" customHeight="1" thickBot="1" x14ac:dyDescent="0.3">
      <c r="B14" s="13" t="s">
        <v>47</v>
      </c>
      <c r="C14" s="13" t="s">
        <v>48</v>
      </c>
      <c r="D14" s="13" t="s">
        <v>49</v>
      </c>
      <c r="E14" s="13" t="s">
        <v>50</v>
      </c>
      <c r="F14" s="13"/>
      <c r="G14" s="13" t="s">
        <v>51</v>
      </c>
      <c r="H14" s="13" t="s">
        <v>52</v>
      </c>
      <c r="I14" s="13" t="s">
        <v>53</v>
      </c>
    </row>
    <row r="18" spans="2:9" x14ac:dyDescent="0.25">
      <c r="B18" s="1" t="s">
        <v>54</v>
      </c>
      <c r="C18" s="1"/>
    </row>
    <row r="19" spans="2:9" x14ac:dyDescent="0.25">
      <c r="B19" s="4" t="s">
        <v>55</v>
      </c>
      <c r="C19" s="4" t="s">
        <v>1</v>
      </c>
      <c r="D19" s="4" t="s">
        <v>56</v>
      </c>
      <c r="E19" s="4" t="s">
        <v>57</v>
      </c>
      <c r="F19" s="4" t="s">
        <v>58</v>
      </c>
      <c r="G19" s="4" t="s">
        <v>59</v>
      </c>
      <c r="H19" s="4" t="s">
        <v>60</v>
      </c>
      <c r="I19" s="4" t="s">
        <v>61</v>
      </c>
    </row>
    <row r="20" spans="2:9" ht="40.200000000000003" thickBot="1" x14ac:dyDescent="0.3">
      <c r="B20" s="15" t="s">
        <v>62</v>
      </c>
      <c r="C20" s="15" t="s">
        <v>63</v>
      </c>
      <c r="D20" s="15" t="s">
        <v>17</v>
      </c>
      <c r="E20" s="15" t="s">
        <v>64</v>
      </c>
      <c r="F20" s="15" t="s">
        <v>65</v>
      </c>
      <c r="G20" s="15" t="s">
        <v>66</v>
      </c>
      <c r="H20" s="15" t="s">
        <v>67</v>
      </c>
      <c r="I20" s="15" t="s">
        <v>68</v>
      </c>
    </row>
    <row r="21" spans="2:9" ht="18.75" customHeight="1" thickBot="1" x14ac:dyDescent="0.3">
      <c r="B21" s="12" t="s">
        <v>69</v>
      </c>
      <c r="C21" s="12" t="s">
        <v>70</v>
      </c>
      <c r="D21" s="12" t="s">
        <v>71</v>
      </c>
      <c r="E21" s="12" t="s">
        <v>50</v>
      </c>
      <c r="F21" s="12" t="s">
        <v>72</v>
      </c>
      <c r="G21" s="12" t="s">
        <v>51</v>
      </c>
      <c r="H21" s="12"/>
      <c r="I21" s="12"/>
    </row>
    <row r="22" spans="2:9" ht="13.8" thickBot="1" x14ac:dyDescent="0.3">
      <c r="B22" s="12" t="s">
        <v>76</v>
      </c>
      <c r="C22" s="12" t="str">
        <f>B8</f>
        <v>NEW_ELEC_STG2</v>
      </c>
      <c r="D22" s="12" t="str">
        <f>C8</f>
        <v>new storage</v>
      </c>
      <c r="E22" s="12" t="str">
        <f>E21</f>
        <v>PJ</v>
      </c>
      <c r="F22" s="12" t="str">
        <f>F21</f>
        <v>PJ/a</v>
      </c>
      <c r="G22" s="12" t="str">
        <f>G21</f>
        <v>DAYNITE</v>
      </c>
      <c r="H22" s="12"/>
      <c r="I22" s="12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B5C2EBBD-EC00-405F-A12E-6B0881870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528B9A-C376-4475-9CF4-657E22993D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77DA20-23E1-45D8-AF9C-F12B793516BA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Emilia Reczek</cp:lastModifiedBy>
  <cp:revision/>
  <dcterms:created xsi:type="dcterms:W3CDTF">2005-06-03T09:41:13Z</dcterms:created>
  <dcterms:modified xsi:type="dcterms:W3CDTF">2025-11-25T08:27:16Z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116207301616668</vt:r8>
  </property>
  <property fmtid="{D5CDD505-2E9C-101B-9397-08002B2CF9AE}" pid="3" name="ContentTypeId">
    <vt:lpwstr>0x010100765A2D8ABDD1064B8560F0E0020228D7</vt:lpwstr>
  </property>
  <property fmtid="{D5CDD505-2E9C-101B-9397-08002B2CF9AE}" pid="4" name="MediaServiceImageTags">
    <vt:lpwstr/>
  </property>
</Properties>
</file>